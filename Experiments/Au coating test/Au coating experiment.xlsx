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wsl.localhost\Ubuntu\home\aulegoup\Optical_fibers\FIB-SEM Au coating measurement\"/>
    </mc:Choice>
  </mc:AlternateContent>
  <xr:revisionPtr revIDLastSave="0" documentId="13_ncr:1_{29D9BF9A-4387-46DD-8D8B-1E79166C046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3 (2nd test lens)" sheetId="1" r:id="rId1"/>
    <sheet name="L2 (1st test lens at 980nm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B5" i="2"/>
  <c r="B4" i="2"/>
  <c r="B3" i="2"/>
  <c r="B2" i="2"/>
  <c r="E17" i="1"/>
  <c r="D17" i="1"/>
  <c r="C17" i="1"/>
  <c r="E16" i="1"/>
  <c r="D16" i="1"/>
  <c r="C16" i="1"/>
  <c r="E15" i="1"/>
  <c r="D15" i="1"/>
  <c r="C15" i="1"/>
  <c r="B15" i="1"/>
  <c r="E14" i="1"/>
  <c r="D14" i="1"/>
  <c r="C14" i="1"/>
  <c r="B14" i="1"/>
  <c r="E13" i="1"/>
  <c r="D13" i="1"/>
  <c r="C13" i="1"/>
  <c r="E12" i="1"/>
  <c r="D12" i="1"/>
  <c r="B12" i="1"/>
  <c r="B7" i="1"/>
  <c r="B17" i="1" s="1"/>
  <c r="B6" i="1"/>
  <c r="B16" i="1" s="1"/>
  <c r="B5" i="1"/>
  <c r="B4" i="1"/>
  <c r="B3" i="1"/>
  <c r="B13" i="1" s="1"/>
</calcChain>
</file>

<file path=xl/sharedStrings.xml><?xml version="1.0" encoding="utf-8"?>
<sst xmlns="http://schemas.openxmlformats.org/spreadsheetml/2006/main" count="28" uniqueCount="25">
  <si>
    <t>Coating time (total) txt</t>
  </si>
  <si>
    <t>Total coating time (s)</t>
  </si>
  <si>
    <r>
      <rPr>
        <sz val="10"/>
        <color theme="1"/>
        <rFont val="Arial"/>
      </rPr>
      <t xml:space="preserve">Power measured at </t>
    </r>
    <r>
      <rPr>
        <b/>
        <sz val="10"/>
        <color theme="1"/>
        <rFont val="Arial"/>
      </rPr>
      <t>980nm</t>
    </r>
    <r>
      <rPr>
        <sz val="10"/>
        <color theme="1"/>
        <rFont val="Arial"/>
      </rPr>
      <t xml:space="preserve"> (μW)</t>
    </r>
  </si>
  <si>
    <r>
      <rPr>
        <sz val="10"/>
        <color theme="1"/>
        <rFont val="Arial"/>
      </rPr>
      <t xml:space="preserve">Power measured at </t>
    </r>
    <r>
      <rPr>
        <b/>
        <sz val="10"/>
        <color theme="1"/>
        <rFont val="Arial"/>
      </rPr>
      <t>785nm</t>
    </r>
    <r>
      <rPr>
        <sz val="10"/>
        <color theme="1"/>
        <rFont val="Arial"/>
      </rPr>
      <t xml:space="preserve"> (μW)</t>
    </r>
  </si>
  <si>
    <r>
      <t xml:space="preserve">Power measured at </t>
    </r>
    <r>
      <rPr>
        <b/>
        <sz val="10"/>
        <color theme="1"/>
        <rFont val="Arial"/>
      </rPr>
      <t>532nm</t>
    </r>
    <r>
      <rPr>
        <sz val="10"/>
        <color theme="1"/>
        <rFont val="Arial"/>
      </rPr>
      <t xml:space="preserve"> (μW)</t>
    </r>
  </si>
  <si>
    <t>other parameters</t>
  </si>
  <si>
    <t>Notes</t>
  </si>
  <si>
    <t>3min40</t>
  </si>
  <si>
    <t>7min37</t>
  </si>
  <si>
    <t>12min0s</t>
  </si>
  <si>
    <t>16min12</t>
  </si>
  <si>
    <t>19min16</t>
  </si>
  <si>
    <t>Total coating time (min)</t>
  </si>
  <si>
    <r>
      <rPr>
        <sz val="10"/>
        <color theme="1"/>
        <rFont val="Arial"/>
      </rPr>
      <t xml:space="preserve">Transmission measured at </t>
    </r>
    <r>
      <rPr>
        <b/>
        <sz val="10"/>
        <color theme="1"/>
        <rFont val="Arial"/>
      </rPr>
      <t>980nm</t>
    </r>
    <r>
      <rPr>
        <sz val="10"/>
        <color theme="1"/>
        <rFont val="Arial"/>
      </rPr>
      <t xml:space="preserve"> (%)</t>
    </r>
  </si>
  <si>
    <r>
      <rPr>
        <sz val="10"/>
        <color theme="1"/>
        <rFont val="Arial"/>
      </rPr>
      <t xml:space="preserve">Transmission measured at </t>
    </r>
    <r>
      <rPr>
        <b/>
        <sz val="10"/>
        <color theme="1"/>
        <rFont val="Arial"/>
      </rPr>
      <t>785nm</t>
    </r>
    <r>
      <rPr>
        <sz val="10"/>
        <color theme="1"/>
        <rFont val="Arial"/>
      </rPr>
      <t xml:space="preserve"> (%)</t>
    </r>
  </si>
  <si>
    <r>
      <rPr>
        <sz val="10"/>
        <color theme="1"/>
        <rFont val="Arial"/>
      </rPr>
      <t xml:space="preserve">Transmission measured at </t>
    </r>
    <r>
      <rPr>
        <b/>
        <sz val="10"/>
        <color theme="1"/>
        <rFont val="Arial"/>
      </rPr>
      <t>532nm</t>
    </r>
    <r>
      <rPr>
        <sz val="10"/>
        <color theme="1"/>
        <rFont val="Arial"/>
      </rPr>
      <t xml:space="preserve"> (%)</t>
    </r>
  </si>
  <si>
    <t>Coating time (total)</t>
  </si>
  <si>
    <t>Power (μW) (power meter collimator at 980nm)</t>
  </si>
  <si>
    <t>concave side first</t>
  </si>
  <si>
    <t>7min6s</t>
  </si>
  <si>
    <t>au plus proche de 18</t>
  </si>
  <si>
    <t>plane side first (but only lowered by 20μW when rotated 180°) échantillon dans boîte blanche en bas, gold coated side on side without text</t>
  </si>
  <si>
    <t>10min40</t>
  </si>
  <si>
    <t>13min44</t>
  </si>
  <si>
    <t>planar side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</si>
</sst>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Power (μW) (power meter collimator at 980nm) as a function of Total coating time (s)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'L2 (1st test lens at 980nm)'!$B$1:$B$5</c:f>
              <c:strCache>
                <c:ptCount val="5"/>
                <c:pt idx="0">
                  <c:v>Total coating time (s)</c:v>
                </c:pt>
                <c:pt idx="1">
                  <c:v>0</c:v>
                </c:pt>
                <c:pt idx="2">
                  <c:v>426</c:v>
                </c:pt>
                <c:pt idx="3">
                  <c:v>640</c:v>
                </c:pt>
                <c:pt idx="4">
                  <c:v>824</c:v>
                </c:pt>
              </c:strCache>
            </c:strRef>
          </c:cat>
          <c:val>
            <c:numRef>
              <c:f>'L2 (1st test lens at 980nm)'!$C$1:$C$5</c:f>
              <c:numCache>
                <c:formatCode>General</c:formatCode>
                <c:ptCount val="5"/>
                <c:pt idx="0">
                  <c:v>0</c:v>
                </c:pt>
                <c:pt idx="1">
                  <c:v>840</c:v>
                </c:pt>
                <c:pt idx="2">
                  <c:v>234</c:v>
                </c:pt>
                <c:pt idx="3">
                  <c:v>120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8C-44AC-835F-45D72643B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449030"/>
        <c:axId val="590368500"/>
      </c:lineChart>
      <c:catAx>
        <c:axId val="629449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coating 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90368500"/>
        <c:crosses val="autoZero"/>
        <c:auto val="1"/>
        <c:lblAlgn val="ctr"/>
        <c:lblOffset val="100"/>
        <c:noMultiLvlLbl val="1"/>
      </c:catAx>
      <c:valAx>
        <c:axId val="590368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Power (μW) (power meter collimator at 980nm)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294490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47625</xdr:rowOff>
    </xdr:from>
    <xdr:ext cx="5715000" cy="3533775"/>
    <xdr:graphicFrame macro="">
      <xdr:nvGraphicFramePr>
        <xdr:cNvPr id="4" name="Chart 4" title="Graphiqu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tabSelected="1" workbookViewId="0">
      <selection activeCell="G15" sqref="G15"/>
    </sheetView>
  </sheetViews>
  <sheetFormatPr baseColWidth="10" defaultColWidth="12.59765625" defaultRowHeight="15.75" customHeight="1" x14ac:dyDescent="0.35"/>
  <cols>
    <col min="1" max="1" width="15.1328125" customWidth="1"/>
    <col min="2" max="2" width="18.265625" customWidth="1"/>
    <col min="3" max="5" width="29.3984375" customWidth="1"/>
  </cols>
  <sheetData>
    <row r="1" spans="1:8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35">
      <c r="A2" s="1">
        <v>0</v>
      </c>
      <c r="B2" s="1">
        <v>0</v>
      </c>
      <c r="C2" s="1">
        <v>855</v>
      </c>
      <c r="D2" s="1">
        <v>1195</v>
      </c>
      <c r="E2" s="1">
        <v>2100</v>
      </c>
      <c r="H2" s="1" t="s">
        <v>24</v>
      </c>
    </row>
    <row r="3" spans="1:8" x14ac:dyDescent="0.35">
      <c r="A3" s="1" t="s">
        <v>7</v>
      </c>
      <c r="B3" s="1">
        <f>3*60+40</f>
        <v>220</v>
      </c>
      <c r="C3" s="1">
        <v>426</v>
      </c>
      <c r="D3" s="1">
        <v>591</v>
      </c>
      <c r="E3" s="1">
        <v>1040</v>
      </c>
    </row>
    <row r="4" spans="1:8" x14ac:dyDescent="0.35">
      <c r="A4" s="1" t="s">
        <v>8</v>
      </c>
      <c r="B4" s="1">
        <f>7*60+37</f>
        <v>457</v>
      </c>
      <c r="C4" s="1">
        <v>253</v>
      </c>
      <c r="D4" s="1">
        <v>342</v>
      </c>
      <c r="E4" s="1">
        <v>631</v>
      </c>
    </row>
    <row r="5" spans="1:8" x14ac:dyDescent="0.35">
      <c r="A5" s="1" t="s">
        <v>9</v>
      </c>
      <c r="B5" s="1">
        <f>12*60</f>
        <v>720</v>
      </c>
      <c r="C5" s="1">
        <v>98</v>
      </c>
      <c r="D5" s="1">
        <v>142</v>
      </c>
      <c r="E5" s="1">
        <v>240</v>
      </c>
    </row>
    <row r="6" spans="1:8" x14ac:dyDescent="0.35">
      <c r="A6" s="1" t="s">
        <v>10</v>
      </c>
      <c r="B6" s="1">
        <f>16*60+12</f>
        <v>972</v>
      </c>
      <c r="C6" s="1">
        <v>35</v>
      </c>
      <c r="D6" s="1">
        <v>48</v>
      </c>
      <c r="E6" s="1">
        <v>84</v>
      </c>
    </row>
    <row r="7" spans="1:8" x14ac:dyDescent="0.35">
      <c r="A7" s="1" t="s">
        <v>11</v>
      </c>
      <c r="B7" s="1">
        <f>19*60+16</f>
        <v>1156</v>
      </c>
      <c r="C7" s="1">
        <v>15</v>
      </c>
      <c r="D7" s="1">
        <v>21</v>
      </c>
      <c r="E7" s="1">
        <v>37</v>
      </c>
    </row>
    <row r="11" spans="1:8" ht="13.15" x14ac:dyDescent="0.4">
      <c r="B11" s="1" t="s">
        <v>12</v>
      </c>
      <c r="C11" s="1" t="s">
        <v>13</v>
      </c>
      <c r="D11" s="1" t="s">
        <v>14</v>
      </c>
      <c r="E11" s="1" t="s">
        <v>15</v>
      </c>
    </row>
    <row r="12" spans="1:8" ht="12.75" x14ac:dyDescent="0.35">
      <c r="B12" s="2">
        <f t="shared" ref="B12:B17" si="0">B2/60</f>
        <v>0</v>
      </c>
      <c r="C12" s="2">
        <f>C2/$C$2*100</f>
        <v>100</v>
      </c>
      <c r="D12" s="2">
        <f t="shared" ref="D12:D17" si="1">D2/$D$2*100</f>
        <v>100</v>
      </c>
      <c r="E12" s="2">
        <f t="shared" ref="E12:E17" si="2">E2/$E$2*100</f>
        <v>100</v>
      </c>
    </row>
    <row r="13" spans="1:8" ht="12.75" x14ac:dyDescent="0.35">
      <c r="B13" s="2">
        <f t="shared" si="0"/>
        <v>3.6666666666666665</v>
      </c>
      <c r="C13" s="2">
        <f t="shared" ref="C12:C17" si="3">C3/$C$2*100</f>
        <v>49.824561403508774</v>
      </c>
      <c r="D13" s="2">
        <f t="shared" si="1"/>
        <v>49.4560669456067</v>
      </c>
      <c r="E13" s="2">
        <f t="shared" si="2"/>
        <v>49.523809523809526</v>
      </c>
    </row>
    <row r="14" spans="1:8" ht="12.75" x14ac:dyDescent="0.35">
      <c r="B14" s="2">
        <f t="shared" si="0"/>
        <v>7.6166666666666663</v>
      </c>
      <c r="C14" s="2">
        <f t="shared" si="3"/>
        <v>29.5906432748538</v>
      </c>
      <c r="D14" s="2">
        <f t="shared" si="1"/>
        <v>28.619246861924687</v>
      </c>
      <c r="E14" s="2">
        <f t="shared" si="2"/>
        <v>30.047619047619044</v>
      </c>
    </row>
    <row r="15" spans="1:8" ht="12.75" x14ac:dyDescent="0.35">
      <c r="B15" s="2">
        <f t="shared" si="0"/>
        <v>12</v>
      </c>
      <c r="C15" s="2">
        <f t="shared" si="3"/>
        <v>11.461988304093568</v>
      </c>
      <c r="D15" s="2">
        <f t="shared" si="1"/>
        <v>11.882845188284518</v>
      </c>
      <c r="E15" s="2">
        <f t="shared" si="2"/>
        <v>11.428571428571429</v>
      </c>
    </row>
    <row r="16" spans="1:8" ht="12.75" x14ac:dyDescent="0.35">
      <c r="B16" s="2">
        <f t="shared" si="0"/>
        <v>16.2</v>
      </c>
      <c r="C16" s="2">
        <f t="shared" si="3"/>
        <v>4.0935672514619883</v>
      </c>
      <c r="D16" s="2">
        <f t="shared" si="1"/>
        <v>4.01673640167364</v>
      </c>
      <c r="E16" s="2">
        <f t="shared" si="2"/>
        <v>4</v>
      </c>
    </row>
    <row r="17" spans="2:5" ht="12.75" x14ac:dyDescent="0.35">
      <c r="B17" s="2">
        <f t="shared" si="0"/>
        <v>19.266666666666666</v>
      </c>
      <c r="C17" s="2">
        <f t="shared" si="3"/>
        <v>1.7543859649122806</v>
      </c>
      <c r="D17" s="2">
        <f t="shared" si="1"/>
        <v>1.7573221757322177</v>
      </c>
      <c r="E17" s="2">
        <f t="shared" si="2"/>
        <v>1.7619047619047619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"/>
  <sheetViews>
    <sheetView workbookViewId="0"/>
  </sheetViews>
  <sheetFormatPr baseColWidth="10" defaultColWidth="12.59765625" defaultRowHeight="15.75" customHeight="1" x14ac:dyDescent="0.35"/>
  <cols>
    <col min="1" max="1" width="15.1328125" customWidth="1"/>
    <col min="2" max="2" width="16.3984375" customWidth="1"/>
    <col min="3" max="3" width="35.59765625" customWidth="1"/>
  </cols>
  <sheetData>
    <row r="1" spans="1:5" x14ac:dyDescent="0.35">
      <c r="A1" s="1" t="s">
        <v>16</v>
      </c>
      <c r="B1" s="1" t="s">
        <v>1</v>
      </c>
      <c r="C1" s="1" t="s">
        <v>17</v>
      </c>
      <c r="D1" s="1" t="s">
        <v>5</v>
      </c>
      <c r="E1" s="1" t="s">
        <v>6</v>
      </c>
    </row>
    <row r="2" spans="1:5" x14ac:dyDescent="0.35">
      <c r="A2" s="1">
        <v>0</v>
      </c>
      <c r="B2" s="1">
        <f>0</f>
        <v>0</v>
      </c>
      <c r="C2" s="1">
        <v>840</v>
      </c>
      <c r="E2" s="1" t="s">
        <v>18</v>
      </c>
    </row>
    <row r="3" spans="1:5" x14ac:dyDescent="0.35">
      <c r="A3" s="1" t="s">
        <v>19</v>
      </c>
      <c r="B3" s="1">
        <f>7*60+6</f>
        <v>426</v>
      </c>
      <c r="C3" s="1">
        <v>234</v>
      </c>
      <c r="D3" s="1" t="s">
        <v>20</v>
      </c>
      <c r="E3" s="1" t="s">
        <v>21</v>
      </c>
    </row>
    <row r="4" spans="1:5" x14ac:dyDescent="0.35">
      <c r="A4" s="1" t="s">
        <v>22</v>
      </c>
      <c r="B4" s="1">
        <f>10*60+40</f>
        <v>640</v>
      </c>
      <c r="C4" s="1">
        <v>120</v>
      </c>
    </row>
    <row r="5" spans="1:5" x14ac:dyDescent="0.35">
      <c r="A5" s="1" t="s">
        <v>23</v>
      </c>
      <c r="B5" s="1">
        <f>13*60+44</f>
        <v>824</v>
      </c>
      <c r="C5" s="1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L3 (2nd test lens)</vt:lpstr>
      <vt:lpstr>L2 (1st test lens at 980nm)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Aurelien Legoupil</cp:lastModifiedBy>
  <dcterms:modified xsi:type="dcterms:W3CDTF">2024-08-27T19:35:49Z</dcterms:modified>
</cp:coreProperties>
</file>